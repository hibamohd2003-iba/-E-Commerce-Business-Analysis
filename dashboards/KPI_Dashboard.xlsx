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6b0d3c40d4a341/Documents/"/>
    </mc:Choice>
  </mc:AlternateContent>
  <xr:revisionPtr revIDLastSave="119" documentId="8_{6B9C3C9E-0734-4DE9-AFDE-9AF30D332DE8}" xr6:coauthVersionLast="47" xr6:coauthVersionMax="47" xr10:uidLastSave="{CE367E49-79C3-46D1-A97A-3F9BBAADC701}"/>
  <bookViews>
    <workbookView minimized="1" xWindow="3420" yWindow="3420" windowWidth="17280" windowHeight="9960" xr2:uid="{11A41463-BE6F-4564-8196-71D754C93B6F}"/>
  </bookViews>
  <sheets>
    <sheet name="Dashboard" sheetId="1" r:id="rId1"/>
    <sheet name="Chart" sheetId="2" r:id="rId2"/>
    <sheet name="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16" i="1"/>
  <c r="E5" i="1"/>
</calcChain>
</file>

<file path=xl/sharedStrings.xml><?xml version="1.0" encoding="utf-8"?>
<sst xmlns="http://schemas.openxmlformats.org/spreadsheetml/2006/main" count="85" uniqueCount="47">
  <si>
    <t>Metric</t>
  </si>
  <si>
    <t>Value</t>
  </si>
  <si>
    <t>Target</t>
  </si>
  <si>
    <t>Unit</t>
  </si>
  <si>
    <t>Category</t>
  </si>
  <si>
    <t>Total Orders</t>
  </si>
  <si>
    <t>#</t>
  </si>
  <si>
    <t>Sales</t>
  </si>
  <si>
    <t>Total Revenue</t>
  </si>
  <si>
    <t>R$</t>
  </si>
  <si>
    <t>Avg Order Value</t>
  </si>
  <si>
    <t>Delivery Success Rate</t>
  </si>
  <si>
    <t>%</t>
  </si>
  <si>
    <t>Operations</t>
  </si>
  <si>
    <t>On Time Rate</t>
  </si>
  <si>
    <t>Avg Fulfillment Days</t>
  </si>
  <si>
    <t>Days</t>
  </si>
  <si>
    <t>Customer Satisfaction</t>
  </si>
  <si>
    <t>/5</t>
  </si>
  <si>
    <t>Customer</t>
  </si>
  <si>
    <t>Retention Rate</t>
  </si>
  <si>
    <t>Active Customers</t>
  </si>
  <si>
    <t>Churned Customers</t>
  </si>
  <si>
    <t>At Risk Customers</t>
  </si>
  <si>
    <t>Gross Margin</t>
  </si>
  <si>
    <t>Financial</t>
  </si>
  <si>
    <t>Profit Per Customer</t>
  </si>
  <si>
    <t>Lost Revenue</t>
  </si>
  <si>
    <t>E-Commerce KPI Dashboard</t>
  </si>
  <si>
    <t>KPI</t>
  </si>
  <si>
    <t>Current</t>
  </si>
  <si>
    <t>R$ 15,843,553</t>
  </si>
  <si>
    <t>R$ 18,000,000</t>
  </si>
  <si>
    <t>R$ 140.64</t>
  </si>
  <si>
    <t>R$ 185</t>
  </si>
  <si>
    <t>Delivery Success</t>
  </si>
  <si>
    <t>8 days</t>
  </si>
  <si>
    <t>4.09/5</t>
  </si>
  <si>
    <t>4.5/5</t>
  </si>
  <si>
    <t>R$ 114.93</t>
  </si>
  <si>
    <t>R$ 250</t>
  </si>
  <si>
    <t>Customer Segment</t>
  </si>
  <si>
    <t>Customers</t>
  </si>
  <si>
    <t>Active</t>
  </si>
  <si>
    <t>Dormant</t>
  </si>
  <si>
    <t>At Risk</t>
  </si>
  <si>
    <t>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</si>
</sst>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1" fillId="5" borderId="0" xfId="0" applyFont="1" applyFill="1"/>
    <xf numFmtId="0" fontId="2" fillId="0" borderId="1" xfId="0" applyFont="1" applyBorder="1"/>
    <xf numFmtId="0" fontId="2" fillId="3" borderId="1" xfId="0" applyFont="1" applyFill="1" applyBorder="1"/>
    <xf numFmtId="3" fontId="2" fillId="0" borderId="1" xfId="0" applyNumberFormat="1" applyFont="1" applyBorder="1"/>
    <xf numFmtId="10" fontId="2" fillId="0" borderId="1" xfId="0" applyNumberFormat="1" applyFont="1" applyBorder="1"/>
    <xf numFmtId="9" fontId="2" fillId="0" borderId="1" xfId="0" applyNumberFormat="1" applyFont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Chart!$B$1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C2-415A-A15A-A948CBAF5E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C2-415A-A15A-A948CBAF5E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C2-415A-A15A-A948CBAF5E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C2-415A-A15A-A948CBAF5E04}"/>
              </c:ext>
            </c:extLst>
          </c:dPt>
          <c:cat>
            <c:strRef>
              <c:f>Chart!$A$2:$A$5</c:f>
              <c:strCache>
                <c:ptCount val="4"/>
                <c:pt idx="0">
                  <c:v>Active</c:v>
                </c:pt>
                <c:pt idx="1">
                  <c:v>Dormant</c:v>
                </c:pt>
                <c:pt idx="2">
                  <c:v>At Risk</c:v>
                </c:pt>
                <c:pt idx="3">
                  <c:v>Churned</c:v>
                </c:pt>
              </c:strCache>
            </c:strRef>
          </c:cat>
          <c:val>
            <c:numRef>
              <c:f>Chart!$B$2:$B$5</c:f>
              <c:numCache>
                <c:formatCode>General</c:formatCode>
                <c:ptCount val="4"/>
                <c:pt idx="0">
                  <c:v>9789</c:v>
                </c:pt>
                <c:pt idx="1">
                  <c:v>18636</c:v>
                </c:pt>
                <c:pt idx="2">
                  <c:v>41118</c:v>
                </c:pt>
                <c:pt idx="3">
                  <c:v>29898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C-4596-B8B3-1B87FE7C4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Chart!$E$1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Chart!$D$2:$D$4</c:f>
              <c:strCache>
                <c:ptCount val="3"/>
                <c:pt idx="0">
                  <c:v>Total Revenue</c:v>
                </c:pt>
                <c:pt idx="1">
                  <c:v>Avg Order Value</c:v>
                </c:pt>
                <c:pt idx="2">
                  <c:v>Profit Per Customer</c:v>
                </c:pt>
              </c:strCache>
            </c:strRef>
          </c:cat>
          <c:val>
            <c:numRef>
              <c:f>Chart!$E$2:$E$4</c:f>
              <c:numCache>
                <c:formatCode>General</c:formatCode>
                <c:ptCount val="3"/>
                <c:pt idx="0">
                  <c:v>15843553</c:v>
                </c:pt>
                <c:pt idx="1">
                  <c:v>140.63999999999999</c:v>
                </c:pt>
                <c:pt idx="2">
                  <c:v>114.93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3-4C3C-9C78-396394BBFFEA}"/>
            </c:ext>
          </c:extLst>
        </c:ser>
        <c:ser>
          <c:idx val="1"/>
          <c:order val="1"/>
          <c:tx>
            <c:strRef>
              <c:f>Chart!$F$1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Chart!$D$2:$D$4</c:f>
              <c:strCache>
                <c:ptCount val="3"/>
                <c:pt idx="0">
                  <c:v>Total Revenue</c:v>
                </c:pt>
                <c:pt idx="1">
                  <c:v>Avg Order Value</c:v>
                </c:pt>
                <c:pt idx="2">
                  <c:v>Profit Per Customer</c:v>
                </c:pt>
              </c:strCache>
            </c:strRef>
          </c:cat>
          <c:val>
            <c:numRef>
              <c:f>Chart!$F$2:$F$4</c:f>
              <c:numCache>
                <c:formatCode>General</c:formatCode>
                <c:ptCount val="3"/>
                <c:pt idx="0">
                  <c:v>18000000</c:v>
                </c:pt>
                <c:pt idx="1">
                  <c:v>185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3-4C3C-9C78-396394BBF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7470527"/>
        <c:axId val="1645524047"/>
      </c:barChart>
      <c:catAx>
        <c:axId val="168747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24047"/>
        <c:crosses val="autoZero"/>
        <c:auto val="1"/>
        <c:lblAlgn val="ctr"/>
        <c:lblOffset val="100"/>
        <c:noMultiLvlLbl val="0"/>
      </c:catAx>
      <c:valAx>
        <c:axId val="16455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7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8</xdr:row>
      <xdr:rowOff>125730</xdr:rowOff>
    </xdr:from>
    <xdr:to>
      <xdr:col>2</xdr:col>
      <xdr:colOff>1110343</xdr:colOff>
      <xdr:row>24</xdr:row>
      <xdr:rowOff>32658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905337-9532-7B55-61EB-4A97AD093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10886</xdr:colOff>
      <xdr:row>8</xdr:row>
      <xdr:rowOff>141514</xdr:rowOff>
    </xdr:from>
    <xdr:to>
      <xdr:col>6</xdr:col>
      <xdr:colOff>54429</xdr:colOff>
      <xdr:row>23</xdr:row>
      <xdr:rowOff>163286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E4A378-0C9A-7EE0-639B-4D8278F7A1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814E-5B0D-496A-B9EA-27144A05C27A}">
  <dimension ref="B2:E16"/>
  <sheetViews>
    <sheetView tabSelected="1" topLeftCell="B1" zoomScale="51" zoomScaleNormal="51" workbookViewId="0">
      <selection activeCell="B20" sqref="B20"/>
    </sheetView>
  </sheetViews>
  <sheetFormatPr defaultColWidth="47.21875" defaultRowHeight="14.4" x14ac:dyDescent="0.3"/>
  <sheetData>
    <row r="2" spans="2:5" ht="25.8" x14ac:dyDescent="0.5">
      <c r="B2" s="3" t="s">
        <v>28</v>
      </c>
    </row>
    <row r="4" spans="2:5" x14ac:dyDescent="0.3">
      <c r="B4" s="4" t="s">
        <v>29</v>
      </c>
      <c r="C4" s="4" t="s">
        <v>29</v>
      </c>
      <c r="D4" s="4" t="s">
        <v>29</v>
      </c>
      <c r="E4" s="4" t="s">
        <v>29</v>
      </c>
    </row>
    <row r="5" spans="2:5" x14ac:dyDescent="0.3">
      <c r="B5" s="7" t="s">
        <v>8</v>
      </c>
      <c r="C5" s="7" t="s">
        <v>31</v>
      </c>
      <c r="D5" s="7" t="s">
        <v>32</v>
      </c>
      <c r="E5" s="8" t="str">
        <f>IF(C5&gt;=D5,"✅ On Track","⚠ Needs Work")</f>
        <v>⚠ Needs Work</v>
      </c>
    </row>
    <row r="6" spans="2:5" x14ac:dyDescent="0.3">
      <c r="B6" s="7" t="s">
        <v>5</v>
      </c>
      <c r="C6" s="9">
        <v>99441</v>
      </c>
      <c r="D6" s="9">
        <v>110000</v>
      </c>
      <c r="E6" s="8" t="str">
        <f t="shared" ref="E6:E15" si="0">IF(C6&gt;=D6,"✅ On Track","⚠ Needs Work")</f>
        <v>⚠ Needs Work</v>
      </c>
    </row>
    <row r="7" spans="2:5" x14ac:dyDescent="0.3">
      <c r="B7" s="7" t="s">
        <v>10</v>
      </c>
      <c r="C7" s="7" t="s">
        <v>33</v>
      </c>
      <c r="D7" s="7" t="s">
        <v>34</v>
      </c>
      <c r="E7" s="8" t="str">
        <f t="shared" si="0"/>
        <v>⚠ Needs Work</v>
      </c>
    </row>
    <row r="8" spans="2:5" x14ac:dyDescent="0.3">
      <c r="B8" s="7" t="s">
        <v>35</v>
      </c>
      <c r="C8" s="10">
        <v>0.97009999999999996</v>
      </c>
      <c r="D8" s="11">
        <v>0.99</v>
      </c>
      <c r="E8" s="8" t="str">
        <f t="shared" si="0"/>
        <v>⚠ Needs Work</v>
      </c>
    </row>
    <row r="9" spans="2:5" x14ac:dyDescent="0.3">
      <c r="B9" s="7" t="s">
        <v>14</v>
      </c>
      <c r="C9" s="10">
        <v>0.94969999999999999</v>
      </c>
      <c r="D9" s="11">
        <v>0.98</v>
      </c>
      <c r="E9" s="8" t="str">
        <f t="shared" si="0"/>
        <v>⚠ Needs Work</v>
      </c>
    </row>
    <row r="10" spans="2:5" x14ac:dyDescent="0.3">
      <c r="B10" s="7" t="s">
        <v>15</v>
      </c>
      <c r="C10" s="7">
        <v>12.1</v>
      </c>
      <c r="D10" s="7" t="s">
        <v>36</v>
      </c>
      <c r="E10" s="8" t="str">
        <f t="shared" si="0"/>
        <v>⚠ Needs Work</v>
      </c>
    </row>
    <row r="11" spans="2:5" x14ac:dyDescent="0.3">
      <c r="B11" s="7" t="s">
        <v>17</v>
      </c>
      <c r="C11" s="7" t="s">
        <v>37</v>
      </c>
      <c r="D11" s="7" t="s">
        <v>38</v>
      </c>
      <c r="E11" s="8" t="str">
        <f t="shared" si="0"/>
        <v>⚠ Needs Work</v>
      </c>
    </row>
    <row r="12" spans="2:5" x14ac:dyDescent="0.3">
      <c r="B12" s="7" t="s">
        <v>20</v>
      </c>
      <c r="C12" s="11">
        <v>0</v>
      </c>
      <c r="D12" s="11">
        <v>0.2</v>
      </c>
      <c r="E12" s="8" t="str">
        <f t="shared" si="0"/>
        <v>⚠ Needs Work</v>
      </c>
    </row>
    <row r="13" spans="2:5" x14ac:dyDescent="0.3">
      <c r="B13" s="7" t="s">
        <v>21</v>
      </c>
      <c r="C13" s="9">
        <v>9789</v>
      </c>
      <c r="D13" s="9">
        <v>25000</v>
      </c>
      <c r="E13" s="8" t="str">
        <f t="shared" si="0"/>
        <v>⚠ Needs Work</v>
      </c>
    </row>
    <row r="14" spans="2:5" x14ac:dyDescent="0.3">
      <c r="B14" s="7" t="s">
        <v>22</v>
      </c>
      <c r="C14" s="9">
        <v>29898</v>
      </c>
      <c r="D14" s="9">
        <v>5000</v>
      </c>
      <c r="E14" s="12" t="str">
        <f t="shared" si="0"/>
        <v>✅ On Track</v>
      </c>
    </row>
    <row r="15" spans="2:5" x14ac:dyDescent="0.3">
      <c r="B15" s="7" t="s">
        <v>24</v>
      </c>
      <c r="C15" s="10">
        <v>0.81799999999999995</v>
      </c>
      <c r="D15" s="11">
        <v>0.85</v>
      </c>
      <c r="E15" s="8" t="str">
        <f t="shared" si="0"/>
        <v>⚠ Needs Work</v>
      </c>
    </row>
    <row r="16" spans="2:5" x14ac:dyDescent="0.3">
      <c r="B16" s="7" t="s">
        <v>26</v>
      </c>
      <c r="C16" s="7" t="s">
        <v>39</v>
      </c>
      <c r="D16" s="7" t="s">
        <v>40</v>
      </c>
      <c r="E16" s="8" t="str">
        <f>IF(C16&gt;=D16,"✅ On Track","⚠ Needs Work")</f>
        <v>⚠ Needs Work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A6F0-C65C-47A8-863C-E10B181E43A6}">
  <dimension ref="A1:F5"/>
  <sheetViews>
    <sheetView zoomScale="70" workbookViewId="0">
      <selection activeCell="A34" sqref="A34"/>
    </sheetView>
  </sheetViews>
  <sheetFormatPr defaultColWidth="17.77734375" defaultRowHeight="14.4" x14ac:dyDescent="0.3"/>
  <sheetData>
    <row r="1" spans="1:6" x14ac:dyDescent="0.3">
      <c r="A1" s="6" t="s">
        <v>41</v>
      </c>
      <c r="B1" s="6" t="s">
        <v>42</v>
      </c>
      <c r="D1" s="6" t="s">
        <v>0</v>
      </c>
      <c r="E1" s="6" t="s">
        <v>30</v>
      </c>
      <c r="F1" s="6" t="s">
        <v>2</v>
      </c>
    </row>
    <row r="2" spans="1:6" x14ac:dyDescent="0.3">
      <c r="A2" s="5" t="s">
        <v>43</v>
      </c>
      <c r="B2" s="5">
        <v>9789</v>
      </c>
      <c r="D2" t="s">
        <v>8</v>
      </c>
      <c r="E2">
        <v>15843553</v>
      </c>
      <c r="F2">
        <v>18000000</v>
      </c>
    </row>
    <row r="3" spans="1:6" x14ac:dyDescent="0.3">
      <c r="A3" s="5" t="s">
        <v>44</v>
      </c>
      <c r="B3" s="5">
        <v>18636</v>
      </c>
      <c r="D3" t="s">
        <v>10</v>
      </c>
      <c r="E3">
        <v>140.63999999999999</v>
      </c>
      <c r="F3">
        <v>185</v>
      </c>
    </row>
    <row r="4" spans="1:6" x14ac:dyDescent="0.3">
      <c r="A4" s="5" t="s">
        <v>45</v>
      </c>
      <c r="B4" s="5">
        <v>41118</v>
      </c>
      <c r="D4" t="s">
        <v>26</v>
      </c>
      <c r="E4">
        <v>114.93</v>
      </c>
      <c r="F4">
        <v>250</v>
      </c>
    </row>
    <row r="5" spans="1:6" x14ac:dyDescent="0.3">
      <c r="A5" s="5" t="s">
        <v>46</v>
      </c>
      <c r="B5" s="5">
        <v>29898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AC19-4C13-43AC-86BB-FCE7CFEA21F7}">
  <dimension ref="A1:E15"/>
  <sheetViews>
    <sheetView zoomScale="121" zoomScaleNormal="100" workbookViewId="0">
      <selection activeCell="B2" sqref="B2"/>
    </sheetView>
  </sheetViews>
  <sheetFormatPr defaultColWidth="19.88671875" defaultRowHeight="14.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>
        <v>99441</v>
      </c>
      <c r="C2" s="1">
        <v>110000</v>
      </c>
      <c r="D2" s="1" t="s">
        <v>6</v>
      </c>
      <c r="E2" s="1" t="s">
        <v>7</v>
      </c>
    </row>
    <row r="3" spans="1:5" x14ac:dyDescent="0.3">
      <c r="A3" s="1" t="s">
        <v>8</v>
      </c>
      <c r="B3" s="1">
        <v>15843553</v>
      </c>
      <c r="C3" s="1">
        <v>18000000</v>
      </c>
      <c r="D3" s="1" t="s">
        <v>9</v>
      </c>
      <c r="E3" s="1" t="s">
        <v>7</v>
      </c>
    </row>
    <row r="4" spans="1:5" x14ac:dyDescent="0.3">
      <c r="A4" s="1" t="s">
        <v>10</v>
      </c>
      <c r="B4" s="1">
        <v>140.63999999999999</v>
      </c>
      <c r="C4" s="1">
        <v>185</v>
      </c>
      <c r="D4" s="1" t="s">
        <v>9</v>
      </c>
      <c r="E4" s="1" t="s">
        <v>7</v>
      </c>
    </row>
    <row r="5" spans="1:5" x14ac:dyDescent="0.3">
      <c r="A5" s="1" t="s">
        <v>11</v>
      </c>
      <c r="B5" s="1">
        <v>97.01</v>
      </c>
      <c r="C5" s="1">
        <v>99</v>
      </c>
      <c r="D5" s="1" t="s">
        <v>12</v>
      </c>
      <c r="E5" s="1" t="s">
        <v>13</v>
      </c>
    </row>
    <row r="6" spans="1:5" x14ac:dyDescent="0.3">
      <c r="A6" s="1" t="s">
        <v>14</v>
      </c>
      <c r="B6" s="1">
        <v>94.97</v>
      </c>
      <c r="C6" s="1">
        <v>98</v>
      </c>
      <c r="D6" s="1" t="s">
        <v>12</v>
      </c>
      <c r="E6" s="1" t="s">
        <v>13</v>
      </c>
    </row>
    <row r="7" spans="1:5" x14ac:dyDescent="0.3">
      <c r="A7" s="1" t="s">
        <v>15</v>
      </c>
      <c r="B7" s="1">
        <v>12.1</v>
      </c>
      <c r="C7" s="1">
        <v>8</v>
      </c>
      <c r="D7" s="1" t="s">
        <v>16</v>
      </c>
      <c r="E7" s="1" t="s">
        <v>13</v>
      </c>
    </row>
    <row r="8" spans="1:5" x14ac:dyDescent="0.3">
      <c r="A8" s="1" t="s">
        <v>17</v>
      </c>
      <c r="B8" s="1">
        <v>4.09</v>
      </c>
      <c r="C8" s="1">
        <v>4.5</v>
      </c>
      <c r="D8" s="1" t="s">
        <v>18</v>
      </c>
      <c r="E8" s="1" t="s">
        <v>19</v>
      </c>
    </row>
    <row r="9" spans="1:5" x14ac:dyDescent="0.3">
      <c r="A9" s="1" t="s">
        <v>20</v>
      </c>
      <c r="B9" s="1">
        <v>0</v>
      </c>
      <c r="C9" s="1">
        <v>20</v>
      </c>
      <c r="D9" s="1" t="s">
        <v>12</v>
      </c>
      <c r="E9" s="1" t="s">
        <v>19</v>
      </c>
    </row>
    <row r="10" spans="1:5" x14ac:dyDescent="0.3">
      <c r="A10" s="1" t="s">
        <v>21</v>
      </c>
      <c r="B10" s="1">
        <v>9789</v>
      </c>
      <c r="C10" s="1">
        <v>25000</v>
      </c>
      <c r="D10" s="1" t="s">
        <v>6</v>
      </c>
      <c r="E10" s="1" t="s">
        <v>19</v>
      </c>
    </row>
    <row r="11" spans="1:5" x14ac:dyDescent="0.3">
      <c r="A11" s="1" t="s">
        <v>22</v>
      </c>
      <c r="B11" s="1">
        <v>29898</v>
      </c>
      <c r="C11" s="1">
        <v>5000</v>
      </c>
      <c r="D11" s="1" t="s">
        <v>6</v>
      </c>
      <c r="E11" s="1" t="s">
        <v>19</v>
      </c>
    </row>
    <row r="12" spans="1:5" x14ac:dyDescent="0.3">
      <c r="A12" s="1" t="s">
        <v>23</v>
      </c>
      <c r="B12" s="1">
        <v>41118</v>
      </c>
      <c r="C12" s="1">
        <v>10000</v>
      </c>
      <c r="D12" s="1" t="s">
        <v>6</v>
      </c>
      <c r="E12" s="1" t="s">
        <v>19</v>
      </c>
    </row>
    <row r="13" spans="1:5" x14ac:dyDescent="0.3">
      <c r="A13" s="1" t="s">
        <v>24</v>
      </c>
      <c r="B13" s="1">
        <v>81.8</v>
      </c>
      <c r="C13" s="1">
        <v>85</v>
      </c>
      <c r="D13" s="1" t="s">
        <v>12</v>
      </c>
      <c r="E13" s="1" t="s">
        <v>25</v>
      </c>
    </row>
    <row r="14" spans="1:5" x14ac:dyDescent="0.3">
      <c r="A14" s="1" t="s">
        <v>26</v>
      </c>
      <c r="B14" s="1">
        <v>114.93</v>
      </c>
      <c r="C14" s="1">
        <v>250</v>
      </c>
      <c r="D14" s="1" t="s">
        <v>9</v>
      </c>
      <c r="E14" s="1" t="s">
        <v>25</v>
      </c>
    </row>
    <row r="15" spans="1:5" x14ac:dyDescent="0.3">
      <c r="A15" s="1" t="s">
        <v>27</v>
      </c>
      <c r="B15" s="1">
        <v>218701</v>
      </c>
      <c r="C15" s="1">
        <v>0</v>
      </c>
      <c r="D15" s="1" t="s">
        <v>9</v>
      </c>
      <c r="E15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Chart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Hiba Muhammed</dc:creator>
  <cp:lastModifiedBy>Hiba Muhammed</cp:lastModifiedBy>
  <dcterms:created xsi:type="dcterms:W3CDTF">2026-06-17T03:21:22Z</dcterms:created>
  <dcterms:modified xsi:type="dcterms:W3CDTF">2026-06-17T04:32:03Z</dcterms:modified>
</cp:coreProperties>
</file>